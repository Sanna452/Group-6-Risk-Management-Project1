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baldeh_s_northeastern_edu/Documents/Desktop/"/>
    </mc:Choice>
  </mc:AlternateContent>
  <xr:revisionPtr revIDLastSave="0" documentId="14_{3E8BED4E-7509-4141-B611-DD9778E389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&amp;W Risk Table" sheetId="1" r:id="rId1"/>
    <sheet name=" Heatma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C10" i="2" s="1"/>
  <c r="B9" i="2"/>
  <c r="C9" i="2" s="1"/>
  <c r="B8" i="2"/>
  <c r="C8" i="2" s="1"/>
  <c r="B4" i="2"/>
  <c r="H13" i="1"/>
  <c r="I10" i="2" s="1"/>
  <c r="H12" i="1"/>
  <c r="H10" i="2" s="1"/>
  <c r="H11" i="1"/>
  <c r="I11" i="1" s="1"/>
  <c r="H10" i="1"/>
  <c r="J10" i="1" s="1"/>
  <c r="H9" i="1"/>
  <c r="H9" i="2" s="1"/>
  <c r="H8" i="1"/>
  <c r="J8" i="1" s="1"/>
  <c r="H7" i="1"/>
  <c r="I8" i="2" s="1"/>
  <c r="H6" i="1"/>
  <c r="J6" i="1" s="1"/>
  <c r="H5" i="1"/>
  <c r="G8" i="2" s="1"/>
  <c r="D10" i="2" l="1"/>
  <c r="I5" i="1"/>
  <c r="I9" i="1"/>
  <c r="I13" i="1"/>
  <c r="J5" i="1"/>
  <c r="J9" i="1"/>
  <c r="J13" i="1"/>
  <c r="G9" i="2"/>
  <c r="I9" i="2"/>
  <c r="I8" i="1"/>
  <c r="D9" i="2" s="1"/>
  <c r="I12" i="1"/>
  <c r="G10" i="2"/>
  <c r="J7" i="1"/>
  <c r="J11" i="1"/>
  <c r="J12" i="1"/>
  <c r="H8" i="2"/>
  <c r="I6" i="1"/>
  <c r="I10" i="1"/>
  <c r="I7" i="1"/>
  <c r="D8" i="2" l="1"/>
  <c r="H4" i="2"/>
  <c r="F4" i="2"/>
  <c r="D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For 'Higher is Worse' indicators, values at or below this threshold classify as Low.</t>
        </r>
      </text>
    </comment>
    <comment ref="E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For 'Higher is Worse' indicators, values above Low Boundary and at or below this threshold classify as Moderate.</t>
        </r>
      </text>
    </comment>
    <comment ref="F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User input cell. Change this value to test how the automatic classification updates.</t>
        </r>
      </text>
    </comment>
  </commentList>
</comments>
</file>

<file path=xl/sharedStrings.xml><?xml version="1.0" encoding="utf-8"?>
<sst xmlns="http://schemas.openxmlformats.org/spreadsheetml/2006/main" count="98" uniqueCount="59">
  <si>
    <t>Indicators &amp; Warnings (I&amp;W) Risk Classification</t>
  </si>
  <si>
    <t>Risk</t>
  </si>
  <si>
    <t>Indicator</t>
  </si>
  <si>
    <t>Unit</t>
  </si>
  <si>
    <t>Low Boundary</t>
  </si>
  <si>
    <t>Moderate Boundary</t>
  </si>
  <si>
    <t>Current Value</t>
  </si>
  <si>
    <t>Direction</t>
  </si>
  <si>
    <t>Risk Score</t>
  </si>
  <si>
    <t>Risk Level</t>
  </si>
  <si>
    <t>Action Priority</t>
  </si>
  <si>
    <t>Interpretation</t>
  </si>
  <si>
    <t>Cybersecurity Breach</t>
  </si>
  <si>
    <t>Intrusion Attempts</t>
  </si>
  <si>
    <t># per week</t>
  </si>
  <si>
    <t>Higher is Worse</t>
  </si>
  <si>
    <t>High exposure to cyber threats and attempted unauthorized access.</t>
  </si>
  <si>
    <t>Vulnerability Score</t>
  </si>
  <si>
    <t>1–10 scale</t>
  </si>
  <si>
    <t>System security weaknesses remain above the acceptable threshold.</t>
  </si>
  <si>
    <t>Data Encryption</t>
  </si>
  <si>
    <t>%</t>
  </si>
  <si>
    <t>Lower is Worse</t>
  </si>
  <si>
    <t>Encryption coverage should improve to reduce breach exposure.</t>
  </si>
  <si>
    <t>System Integration Failure</t>
  </si>
  <si>
    <t>System Downtime</t>
  </si>
  <si>
    <t>Hours/month</t>
  </si>
  <si>
    <t>Operational disruption may affect continuity of patient monitoring.</t>
  </si>
  <si>
    <t>Error Rate</t>
  </si>
  <si>
    <t>Integration instability may interrupt clinical workflows.</t>
  </si>
  <si>
    <t>API Response Time</t>
  </si>
  <si>
    <t>ms</t>
  </si>
  <si>
    <t>Slow performance can delay data exchange and clinical actions.</t>
  </si>
  <si>
    <t>Regulatory Non-Compliance</t>
  </si>
  <si>
    <t>Audit Findings</t>
  </si>
  <si>
    <t># per quarter</t>
  </si>
  <si>
    <t>Audit findings above tolerance may trigger penalties or remediation.</t>
  </si>
  <si>
    <t>Staff Training</t>
  </si>
  <si>
    <t>Training coverage is below the ideal level for privacy compliance.</t>
  </si>
  <si>
    <t>Data Incidents</t>
  </si>
  <si>
    <t># per month</t>
  </si>
  <si>
    <t>Reported incidents indicate elevated compliance and privacy risk.</t>
  </si>
  <si>
    <t>I&amp;W Risk Heatmap</t>
  </si>
  <si>
    <t>The I&amp;W Risk Table sheet.</t>
  </si>
  <si>
    <t>Total Indicators</t>
  </si>
  <si>
    <t>High Indicators</t>
  </si>
  <si>
    <t>Moderate Indicators</t>
  </si>
  <si>
    <t>Low Indicators</t>
  </si>
  <si>
    <t>Indicator Heatmap (1 = Low, 2 = Moderate, 3 = High)</t>
  </si>
  <si>
    <t>Average Score</t>
  </si>
  <si>
    <t>Overall Level</t>
  </si>
  <si>
    <t>Short Risk</t>
  </si>
  <si>
    <t>Indicator 1</t>
  </si>
  <si>
    <t>Indicator 2</t>
  </si>
  <si>
    <t>Indicator 3</t>
  </si>
  <si>
    <t>Cybersecurity</t>
  </si>
  <si>
    <t>Integration</t>
  </si>
  <si>
    <t>System Integration</t>
  </si>
  <si>
    <t>Regulatory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</si>
</sst>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rgb="FFFFFFFF"/>
      <name val="Calibri"/>
      <family val="2"/>
    </font>
    <font>
      <i/>
      <sz val="11"/>
      <color rgb="FF404040"/>
      <name val="Calibri"/>
      <family val="2"/>
    </font>
    <font>
      <b/>
      <sz val="11"/>
      <color rgb="FFFFFFFF"/>
      <name val="Calibri"/>
      <family val="2"/>
    </font>
    <font>
      <sz val="11"/>
      <color rgb="FF808080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404040"/>
      <name val="Calibri"/>
      <family val="2"/>
    </font>
    <font>
      <b/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3E5F5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" fontId="5" fillId="4" borderId="1" xfId="0" applyNumberFormat="1" applyFont="1" applyFill="1" applyBorder="1" applyAlignment="1">
      <alignment vertical="top" wrapText="1"/>
    </xf>
    <xf numFmtId="1" fontId="6" fillId="5" borderId="1" xfId="0" applyNumberFormat="1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3" fillId="3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12">
    <dxf>
      <fill>
        <patternFill>
          <bgColor rgb="FFF4CCC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4CCC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4CCC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4CCC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CA"/>
              <a:t>Average Risk Score by Risk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66607745460389E-2"/>
          <c:y val="0.270595690747782"/>
          <c:w val="0.86591568911028982"/>
          <c:h val="0.5833228546051515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 Heatmap'!$B$7</c:f>
              <c:strCache>
                <c:ptCount val="1"/>
                <c:pt idx="0">
                  <c:v>Average Score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 Heatmap'!$B$8:$B$10</c:f>
              <c:numCache>
                <c:formatCode>0.0</c:formatCode>
                <c:ptCount val="3"/>
                <c:pt idx="0">
                  <c:v>2.6666666666666665</c:v>
                </c:pt>
                <c:pt idx="1">
                  <c:v>3</c:v>
                </c:pt>
                <c:pt idx="2">
                  <c:v>2.6666666666666665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 Heatmap'!$E$8:$E$10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822-48EB-AA7C-4AA50AED6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CA"/>
                  <a:t>Average Score</a:t>
                </a:r>
              </a:p>
            </c:rich>
          </c:tx>
          <c:layout>
            <c:manualLayout>
              <c:xMode val="edge"/>
              <c:yMode val="edge"/>
              <c:x val="0"/>
              <c:y val="0.15462610899873255"/>
            </c:manualLayout>
          </c:layout>
          <c:overlay val="1"/>
        </c:title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CA"/>
                  <a:t>Risk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350520</xdr:colOff>
      <xdr:row>37</xdr:row>
      <xdr:rowOff>7620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59ED2B3C-25F3-2570-3C76-EDA904782C7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11</xdr:row>
      <xdr:rowOff>144780</xdr:rowOff>
    </xdr:from>
    <xdr:to>
      <xdr:col>3</xdr:col>
      <xdr:colOff>190500</xdr:colOff>
      <xdr:row>19</xdr:row>
      <xdr:rowOff>175260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D1" workbookViewId="0">
      <selection activeCell="J16" sqref="J16"/>
    </sheetView>
  </sheetViews>
  <sheetFormatPr defaultRowHeight="14.45"/>
  <cols>
    <col min="1" max="1" width="25.5703125" customWidth="1"/>
    <col min="2" max="2" width="18.5703125" customWidth="1"/>
    <col min="3" max="3" width="12" customWidth="1"/>
    <col min="4" max="4" width="14" customWidth="1"/>
    <col min="5" max="5" width="18" customWidth="1"/>
    <col min="6" max="6" width="14" customWidth="1"/>
    <col min="7" max="7" width="18" customWidth="1"/>
    <col min="8" max="8" width="10" customWidth="1"/>
    <col min="9" max="9" width="12" customWidth="1"/>
    <col min="10" max="10" width="16" customWidth="1"/>
    <col min="11" max="11" width="52" customWidth="1"/>
  </cols>
  <sheetData>
    <row r="1" spans="1:11" ht="19.149999999999999" customHeight="1">
      <c r="A1" s="17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5.7" customHeight="1">
      <c r="A2" s="16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7.649999999999999" customHeight="1"/>
    <row r="4" spans="1:11" ht="17.649999999999999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17.649999999999999" customHeight="1">
      <c r="A5" s="2" t="s">
        <v>12</v>
      </c>
      <c r="B5" s="2" t="s">
        <v>13</v>
      </c>
      <c r="C5" s="2" t="s">
        <v>14</v>
      </c>
      <c r="D5" s="3">
        <v>5</v>
      </c>
      <c r="E5" s="3">
        <v>15</v>
      </c>
      <c r="F5" s="4">
        <v>18</v>
      </c>
      <c r="G5" s="5" t="s">
        <v>15</v>
      </c>
      <c r="H5" s="6">
        <f t="shared" ref="H5:H13" si="0">IF($G5="Higher is Worse",IF($F5&lt;=$D5,1,IF($F5&lt;=$E5,2,3)),IF($F5&gt;=$D5,1,IF($F5&gt;=$E5,2,3)))</f>
        <v>3</v>
      </c>
      <c r="I5" s="6" t="str">
        <f t="shared" ref="I5:I13" si="1">IF(H5=1,"Low",IF(H5=2,"Moderate","High"))</f>
        <v>High</v>
      </c>
      <c r="J5" s="6" t="str">
        <f t="shared" ref="J5:J13" si="2">CHOOSE(H5,"Monitor","Review","Immediate Action")</f>
        <v>Immediate Action</v>
      </c>
      <c r="K5" s="7" t="s">
        <v>16</v>
      </c>
    </row>
    <row r="6" spans="1:11" ht="17.649999999999999" customHeight="1">
      <c r="A6" s="2" t="s">
        <v>12</v>
      </c>
      <c r="B6" s="2" t="s">
        <v>17</v>
      </c>
      <c r="C6" s="2" t="s">
        <v>18</v>
      </c>
      <c r="D6" s="3">
        <v>4</v>
      </c>
      <c r="E6" s="3">
        <v>7</v>
      </c>
      <c r="F6" s="4">
        <v>8</v>
      </c>
      <c r="G6" s="5" t="s">
        <v>15</v>
      </c>
      <c r="H6" s="6">
        <f t="shared" si="0"/>
        <v>3</v>
      </c>
      <c r="I6" s="6" t="str">
        <f t="shared" si="1"/>
        <v>High</v>
      </c>
      <c r="J6" s="6" t="str">
        <f t="shared" si="2"/>
        <v>Immediate Action</v>
      </c>
      <c r="K6" s="7" t="s">
        <v>19</v>
      </c>
    </row>
    <row r="7" spans="1:11" ht="17.649999999999999" customHeight="1">
      <c r="A7" s="2" t="s">
        <v>12</v>
      </c>
      <c r="B7" s="2" t="s">
        <v>20</v>
      </c>
      <c r="C7" s="2" t="s">
        <v>21</v>
      </c>
      <c r="D7" s="8">
        <v>95</v>
      </c>
      <c r="E7" s="8">
        <v>85</v>
      </c>
      <c r="F7" s="9">
        <v>90</v>
      </c>
      <c r="G7" s="5" t="s">
        <v>22</v>
      </c>
      <c r="H7" s="6">
        <f t="shared" si="0"/>
        <v>2</v>
      </c>
      <c r="I7" s="6" t="str">
        <f t="shared" si="1"/>
        <v>Moderate</v>
      </c>
      <c r="J7" s="6" t="str">
        <f t="shared" si="2"/>
        <v>Review</v>
      </c>
      <c r="K7" s="7" t="s">
        <v>23</v>
      </c>
    </row>
    <row r="8" spans="1:11" ht="17.649999999999999" customHeight="1">
      <c r="A8" s="2" t="s">
        <v>24</v>
      </c>
      <c r="B8" s="2" t="s">
        <v>25</v>
      </c>
      <c r="C8" s="2" t="s">
        <v>26</v>
      </c>
      <c r="D8" s="3">
        <v>3</v>
      </c>
      <c r="E8" s="3">
        <v>6</v>
      </c>
      <c r="F8" s="4">
        <v>7</v>
      </c>
      <c r="G8" s="5" t="s">
        <v>15</v>
      </c>
      <c r="H8" s="6">
        <f t="shared" si="0"/>
        <v>3</v>
      </c>
      <c r="I8" s="6" t="str">
        <f t="shared" si="1"/>
        <v>High</v>
      </c>
      <c r="J8" s="6" t="str">
        <f t="shared" si="2"/>
        <v>Immediate Action</v>
      </c>
      <c r="K8" s="7" t="s">
        <v>27</v>
      </c>
    </row>
    <row r="9" spans="1:11" ht="17.649999999999999" customHeight="1">
      <c r="A9" s="2" t="s">
        <v>24</v>
      </c>
      <c r="B9" s="2" t="s">
        <v>28</v>
      </c>
      <c r="C9" s="2" t="s">
        <v>21</v>
      </c>
      <c r="D9" s="8">
        <v>5</v>
      </c>
      <c r="E9" s="8">
        <v>10</v>
      </c>
      <c r="F9" s="9">
        <v>12</v>
      </c>
      <c r="G9" s="5" t="s">
        <v>15</v>
      </c>
      <c r="H9" s="6">
        <f t="shared" si="0"/>
        <v>3</v>
      </c>
      <c r="I9" s="6" t="str">
        <f t="shared" si="1"/>
        <v>High</v>
      </c>
      <c r="J9" s="6" t="str">
        <f t="shared" si="2"/>
        <v>Immediate Action</v>
      </c>
      <c r="K9" s="7" t="s">
        <v>29</v>
      </c>
    </row>
    <row r="10" spans="1:11" ht="17.649999999999999" customHeight="1">
      <c r="A10" s="2" t="s">
        <v>24</v>
      </c>
      <c r="B10" s="2" t="s">
        <v>30</v>
      </c>
      <c r="C10" s="2" t="s">
        <v>31</v>
      </c>
      <c r="D10" s="3">
        <v>200</v>
      </c>
      <c r="E10" s="3">
        <v>300</v>
      </c>
      <c r="F10" s="4">
        <v>320</v>
      </c>
      <c r="G10" s="5" t="s">
        <v>15</v>
      </c>
      <c r="H10" s="6">
        <f t="shared" si="0"/>
        <v>3</v>
      </c>
      <c r="I10" s="6" t="str">
        <f t="shared" si="1"/>
        <v>High</v>
      </c>
      <c r="J10" s="6" t="str">
        <f t="shared" si="2"/>
        <v>Immediate Action</v>
      </c>
      <c r="K10" s="7" t="s">
        <v>32</v>
      </c>
    </row>
    <row r="11" spans="1:11" ht="17.649999999999999" customHeight="1">
      <c r="A11" s="2" t="s">
        <v>33</v>
      </c>
      <c r="B11" s="2" t="s">
        <v>34</v>
      </c>
      <c r="C11" s="2" t="s">
        <v>35</v>
      </c>
      <c r="D11" s="3">
        <v>1</v>
      </c>
      <c r="E11" s="3">
        <v>3</v>
      </c>
      <c r="F11" s="4">
        <v>4</v>
      </c>
      <c r="G11" s="5" t="s">
        <v>15</v>
      </c>
      <c r="H11" s="6">
        <f t="shared" si="0"/>
        <v>3</v>
      </c>
      <c r="I11" s="6" t="str">
        <f t="shared" si="1"/>
        <v>High</v>
      </c>
      <c r="J11" s="6" t="str">
        <f t="shared" si="2"/>
        <v>Immediate Action</v>
      </c>
      <c r="K11" s="7" t="s">
        <v>36</v>
      </c>
    </row>
    <row r="12" spans="1:11" ht="17.649999999999999" customHeight="1">
      <c r="A12" s="2" t="s">
        <v>33</v>
      </c>
      <c r="B12" s="2" t="s">
        <v>37</v>
      </c>
      <c r="C12" s="2" t="s">
        <v>21</v>
      </c>
      <c r="D12" s="8">
        <v>95</v>
      </c>
      <c r="E12" s="8">
        <v>85</v>
      </c>
      <c r="F12" s="9">
        <v>88</v>
      </c>
      <c r="G12" s="5" t="s">
        <v>22</v>
      </c>
      <c r="H12" s="6">
        <f t="shared" si="0"/>
        <v>2</v>
      </c>
      <c r="I12" s="6" t="str">
        <f t="shared" si="1"/>
        <v>Moderate</v>
      </c>
      <c r="J12" s="6" t="str">
        <f t="shared" si="2"/>
        <v>Review</v>
      </c>
      <c r="K12" s="7" t="s">
        <v>38</v>
      </c>
    </row>
    <row r="13" spans="1:11" ht="17.649999999999999" customHeight="1">
      <c r="A13" s="2" t="s">
        <v>33</v>
      </c>
      <c r="B13" s="2" t="s">
        <v>39</v>
      </c>
      <c r="C13" s="2" t="s">
        <v>40</v>
      </c>
      <c r="D13" s="3">
        <v>0</v>
      </c>
      <c r="E13" s="3">
        <v>2</v>
      </c>
      <c r="F13" s="4">
        <v>3</v>
      </c>
      <c r="G13" s="5" t="s">
        <v>15</v>
      </c>
      <c r="H13" s="6">
        <f t="shared" si="0"/>
        <v>3</v>
      </c>
      <c r="I13" s="6" t="str">
        <f t="shared" si="1"/>
        <v>High</v>
      </c>
      <c r="J13" s="6" t="str">
        <f t="shared" si="2"/>
        <v>Immediate Action</v>
      </c>
      <c r="K13" s="7" t="s">
        <v>41</v>
      </c>
    </row>
    <row r="14" spans="1:11" ht="17.649999999999999" customHeight="1"/>
    <row r="15" spans="1:11" ht="17.649999999999999" customHeight="1"/>
    <row r="16" spans="1:11" ht="17.649999999999999" customHeight="1"/>
    <row r="17" ht="17.649999999999999" customHeight="1"/>
    <row r="18" ht="17.649999999999999" customHeight="1"/>
    <row r="19" ht="17.649999999999999" customHeight="1"/>
  </sheetData>
  <mergeCells count="2">
    <mergeCell ref="A2:K2"/>
    <mergeCell ref="A1:K1"/>
  </mergeCells>
  <conditionalFormatting sqref="H5:H13">
    <cfRule type="cellIs" dxfId="11" priority="1" operator="equal">
      <formula>1</formula>
    </cfRule>
    <cfRule type="cellIs" dxfId="10" priority="2" operator="equal">
      <formula>2</formula>
    </cfRule>
    <cfRule type="cellIs" dxfId="9" priority="3" operator="equal">
      <formula>3</formula>
    </cfRule>
  </conditionalFormatting>
  <conditionalFormatting sqref="I5:J13">
    <cfRule type="expression" dxfId="8" priority="4">
      <formula>$H5=1</formula>
    </cfRule>
    <cfRule type="expression" dxfId="7" priority="7">
      <formula>$H5=2</formula>
    </cfRule>
    <cfRule type="expression" dxfId="6" priority="8">
      <formula>$H5=3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showGridLines="0" workbookViewId="0">
      <selection activeCell="F19" sqref="F19"/>
    </sheetView>
  </sheetViews>
  <sheetFormatPr defaultRowHeight="14.45"/>
  <cols>
    <col min="1" max="1" width="28" customWidth="1"/>
    <col min="2" max="4" width="14" customWidth="1"/>
    <col min="5" max="5" width="16" hidden="1" customWidth="1"/>
    <col min="6" max="9" width="20" customWidth="1"/>
    <col min="10" max="10" width="4" customWidth="1"/>
  </cols>
  <sheetData>
    <row r="1" spans="1:10" ht="25.9" customHeight="1">
      <c r="A1" s="17" t="s">
        <v>42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8.15" customHeight="1">
      <c r="A2" s="16" t="s">
        <v>43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22.15" customHeight="1">
      <c r="B3" s="10" t="s">
        <v>44</v>
      </c>
      <c r="D3" s="10" t="s">
        <v>45</v>
      </c>
      <c r="F3" s="10" t="s">
        <v>46</v>
      </c>
      <c r="H3" s="10" t="s">
        <v>47</v>
      </c>
    </row>
    <row r="4" spans="1:10" ht="22.15" customHeight="1">
      <c r="B4" s="11">
        <f>COUNTA('I&amp;W Risk Table'!$A$5:$A$13)</f>
        <v>9</v>
      </c>
      <c r="D4" s="11">
        <f>COUNTIF('I&amp;W Risk Table'!$I$5:$I$13,"High")</f>
        <v>7</v>
      </c>
      <c r="F4" s="11">
        <f>COUNTIF('I&amp;W Risk Table'!$I$5:$I$13,"Moderate")</f>
        <v>2</v>
      </c>
      <c r="H4" s="11">
        <f>COUNTIF('I&amp;W Risk Table'!$I$5:$I$13,"Low")</f>
        <v>0</v>
      </c>
    </row>
    <row r="5" spans="1:10" ht="22.15" customHeight="1"/>
    <row r="6" spans="1:10" ht="22.15" customHeight="1">
      <c r="F6" s="18" t="s">
        <v>48</v>
      </c>
      <c r="G6" s="19"/>
      <c r="H6" s="19"/>
      <c r="I6" s="19"/>
    </row>
    <row r="7" spans="1:10" ht="22.15" customHeight="1">
      <c r="A7" s="1" t="s">
        <v>1</v>
      </c>
      <c r="B7" s="1" t="s">
        <v>49</v>
      </c>
      <c r="C7" s="1" t="s">
        <v>50</v>
      </c>
      <c r="D7" s="1" t="s">
        <v>45</v>
      </c>
      <c r="E7" s="10" t="s">
        <v>51</v>
      </c>
      <c r="F7" s="10" t="s">
        <v>1</v>
      </c>
      <c r="G7" s="10" t="s">
        <v>52</v>
      </c>
      <c r="H7" s="10" t="s">
        <v>53</v>
      </c>
      <c r="I7" s="10" t="s">
        <v>54</v>
      </c>
    </row>
    <row r="8" spans="1:10" ht="22.15" customHeight="1">
      <c r="A8" s="2" t="s">
        <v>12</v>
      </c>
      <c r="B8" s="12">
        <f>AVERAGEIF('I&amp;W Risk Table'!$A$5:$A$13,A8,'I&amp;W Risk Table'!$H$5:$H$13)</f>
        <v>2.6666666666666665</v>
      </c>
      <c r="C8" s="2" t="str">
        <f>IF(B8&lt;1.5,"Low",IF(B8&lt;2.5,"Moderate","High"))</f>
        <v>High</v>
      </c>
      <c r="D8" s="2">
        <f>COUNTIFS('I&amp;W Risk Table'!$A$5:$A$13,A8,'I&amp;W Risk Table'!$I$5:$I$13,"High")</f>
        <v>2</v>
      </c>
      <c r="E8" t="s">
        <v>55</v>
      </c>
      <c r="F8" t="s">
        <v>55</v>
      </c>
      <c r="G8" s="13">
        <f>'I&amp;W Risk Table'!H5</f>
        <v>3</v>
      </c>
      <c r="H8" s="13">
        <f>'I&amp;W Risk Table'!H6</f>
        <v>3</v>
      </c>
      <c r="I8" s="13">
        <f>'I&amp;W Risk Table'!H7</f>
        <v>2</v>
      </c>
    </row>
    <row r="9" spans="1:10" ht="22.15" customHeight="1">
      <c r="A9" s="2" t="s">
        <v>24</v>
      </c>
      <c r="B9" s="12">
        <f>AVERAGEIF('I&amp;W Risk Table'!$A$5:$A$13,A9,'I&amp;W Risk Table'!$H$5:$H$13)</f>
        <v>3</v>
      </c>
      <c r="C9" s="2" t="str">
        <f>IF(B9&lt;1.5,"Low",IF(B9&lt;2.5,"Moderate","High"))</f>
        <v>High</v>
      </c>
      <c r="D9" s="2">
        <f>COUNTIFS('I&amp;W Risk Table'!$A$5:$A$13,A9,'I&amp;W Risk Table'!$I$5:$I$13,"High")</f>
        <v>3</v>
      </c>
      <c r="E9" t="s">
        <v>56</v>
      </c>
      <c r="F9" t="s">
        <v>57</v>
      </c>
      <c r="G9" s="13">
        <f>'I&amp;W Risk Table'!H8</f>
        <v>3</v>
      </c>
      <c r="H9" s="13">
        <f>'I&amp;W Risk Table'!H9</f>
        <v>3</v>
      </c>
      <c r="I9" s="13">
        <f>'I&amp;W Risk Table'!H10</f>
        <v>3</v>
      </c>
    </row>
    <row r="10" spans="1:10" ht="22.15" customHeight="1">
      <c r="A10" s="2" t="s">
        <v>33</v>
      </c>
      <c r="B10" s="12">
        <f>AVERAGEIF('I&amp;W Risk Table'!$A$5:$A$13,A10,'I&amp;W Risk Table'!$H$5:$H$13)</f>
        <v>2.6666666666666665</v>
      </c>
      <c r="C10" s="2" t="str">
        <f>IF(B10&lt;1.5,"Low",IF(B10&lt;2.5,"Moderate","High"))</f>
        <v>High</v>
      </c>
      <c r="D10" s="2">
        <f>COUNTIFS('I&amp;W Risk Table'!$A$5:$A$13,A10,'I&amp;W Risk Table'!$I$5:$I$13,"High")</f>
        <v>2</v>
      </c>
      <c r="E10" t="s">
        <v>58</v>
      </c>
      <c r="F10" t="s">
        <v>58</v>
      </c>
      <c r="G10" s="13">
        <f>'I&amp;W Risk Table'!H11</f>
        <v>3</v>
      </c>
      <c r="H10" s="13">
        <f>'I&amp;W Risk Table'!H12</f>
        <v>2</v>
      </c>
      <c r="I10" s="13">
        <f>'I&amp;W Risk Table'!H13</f>
        <v>3</v>
      </c>
    </row>
    <row r="11" spans="1:10" ht="22.15" customHeight="1"/>
    <row r="12" spans="1:10" ht="22.15" customHeight="1">
      <c r="F12" s="1" t="s">
        <v>1</v>
      </c>
      <c r="G12" s="1" t="s">
        <v>52</v>
      </c>
      <c r="H12" s="1" t="s">
        <v>53</v>
      </c>
      <c r="I12" s="1" t="s">
        <v>54</v>
      </c>
    </row>
    <row r="13" spans="1:10" ht="22.15" customHeight="1">
      <c r="F13" s="14" t="s">
        <v>55</v>
      </c>
      <c r="G13" s="15" t="s">
        <v>13</v>
      </c>
      <c r="H13" s="15" t="s">
        <v>17</v>
      </c>
      <c r="I13" s="15" t="s">
        <v>20</v>
      </c>
    </row>
    <row r="14" spans="1:10" ht="22.15" customHeight="1">
      <c r="F14" s="14" t="s">
        <v>57</v>
      </c>
      <c r="G14" s="15" t="s">
        <v>25</v>
      </c>
      <c r="H14" s="15" t="s">
        <v>28</v>
      </c>
      <c r="I14" s="15" t="s">
        <v>30</v>
      </c>
    </row>
    <row r="15" spans="1:10" ht="22.15" customHeight="1">
      <c r="F15" s="14" t="s">
        <v>58</v>
      </c>
      <c r="G15" s="15" t="s">
        <v>34</v>
      </c>
      <c r="H15" s="15" t="s">
        <v>37</v>
      </c>
      <c r="I15" s="15" t="s">
        <v>39</v>
      </c>
    </row>
    <row r="16" spans="1:10" ht="22.15" customHeight="1">
      <c r="F16" s="15"/>
      <c r="G16" s="15"/>
      <c r="H16" s="15"/>
      <c r="I16" s="15"/>
    </row>
    <row r="17" ht="22.15" customHeight="1"/>
    <row r="18" ht="22.15" customHeight="1"/>
    <row r="19" ht="22.15" customHeight="1"/>
  </sheetData>
  <mergeCells count="3">
    <mergeCell ref="A1:J1"/>
    <mergeCell ref="F6:I6"/>
    <mergeCell ref="A2:J2"/>
  </mergeCells>
  <conditionalFormatting sqref="C8:C10">
    <cfRule type="expression" dxfId="5" priority="1">
      <formula>$B8&lt;1.5</formula>
    </cfRule>
    <cfRule type="expression" dxfId="4" priority="2">
      <formula>AND($B8&gt;=1.5,$B8&lt;2.5)</formula>
    </cfRule>
    <cfRule type="expression" dxfId="3" priority="3">
      <formula>$B8&gt;=2.5</formula>
    </cfRule>
  </conditionalFormatting>
  <conditionalFormatting sqref="G8:I10">
    <cfRule type="cellIs" dxfId="2" priority="10" operator="equal">
      <formula>1</formula>
    </cfRule>
    <cfRule type="cellIs" dxfId="1" priority="11" operator="equal">
      <formula>2</formula>
    </cfRule>
    <cfRule type="cellIs" dxfId="0" priority="12" operator="equal">
      <formula>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BALDEH</dc:creator>
  <cp:keywords/>
  <dc:description/>
  <cp:lastModifiedBy>Sanna Baldeh</cp:lastModifiedBy>
  <cp:revision/>
  <dcterms:created xsi:type="dcterms:W3CDTF">2026-03-17T16:30:01Z</dcterms:created>
  <dcterms:modified xsi:type="dcterms:W3CDTF">2026-03-26T18:34:58Z</dcterms:modified>
  <cp:category/>
  <cp:contentStatus/>
</cp:coreProperties>
</file>